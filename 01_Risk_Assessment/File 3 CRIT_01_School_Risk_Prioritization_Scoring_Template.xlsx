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852"/>
  </bookViews>
  <sheets>
    <sheet name="School_Profile" sheetId="1" r:id="rId1"/>
    <sheet name="Hazard_Exposure_Scoring" sheetId="2" r:id="rId2"/>
    <sheet name="Infrastructure_Vulnerability" sheetId="3" r:id="rId3"/>
    <sheet name="Social_Vulnerability" sheetId="4" r:id="rId4"/>
    <sheet name="Composite_Risk_Score" sheetId="5" r:id="rId5"/>
    <sheet name="School_Priority_List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6" l="1"/>
  <c r="B14" i="5"/>
  <c r="B9" i="5"/>
  <c r="B12" i="5" s="1"/>
  <c r="B13" i="5" s="1"/>
  <c r="B11" i="5"/>
  <c r="B10" i="5"/>
  <c r="B16" i="4"/>
  <c r="B19" i="3"/>
  <c r="B20" i="2"/>
</calcChain>
</file>

<file path=xl/sharedStrings.xml><?xml version="1.0" encoding="utf-8"?>
<sst xmlns="http://schemas.openxmlformats.org/spreadsheetml/2006/main" count="119" uniqueCount="97">
  <si>
    <t>A</t>
  </si>
  <si>
    <t>B</t>
  </si>
  <si>
    <t>Field</t>
  </si>
  <si>
    <t>Value</t>
  </si>
  <si>
    <t>📊 01_Risk_Assessment</t>
  </si>
  <si>
    <r>
      <t xml:space="preserve">✅ Sheet 1: </t>
    </r>
    <r>
      <rPr>
        <b/>
        <sz val="10"/>
        <color theme="1"/>
        <rFont val="Arial Unicode MS"/>
        <family val="2"/>
      </rPr>
      <t>School_Profile</t>
    </r>
  </si>
  <si>
    <t>Columns (Row 1 headers):</t>
  </si>
  <si>
    <t>Fields to list down in Column A:</t>
  </si>
  <si>
    <t>School Name</t>
  </si>
  <si>
    <t>EMIS Code</t>
  </si>
  <si>
    <t>Province</t>
  </si>
  <si>
    <t>District</t>
  </si>
  <si>
    <t>Tehsil</t>
  </si>
  <si>
    <t>UC</t>
  </si>
  <si>
    <t>GPS Latitude</t>
  </si>
  <si>
    <t>GPS Longitude</t>
  </si>
  <si>
    <t>School Level</t>
  </si>
  <si>
    <t>Gender (Boys/Girls/Mixed)</t>
  </si>
  <si>
    <t>Total Enrolment</t>
  </si>
  <si>
    <t>Girls Enrolment</t>
  </si>
  <si>
    <t>Boys Enrolment</t>
  </si>
  <si>
    <t>Children with Disabilities (Estimated)</t>
  </si>
  <si>
    <t>No. of Classrooms</t>
  </si>
  <si>
    <t>Construction Type</t>
  </si>
  <si>
    <t>Year Built</t>
  </si>
  <si>
    <t>Contact Person (Head Teacher)</t>
  </si>
  <si>
    <t>Phone Number</t>
  </si>
  <si>
    <t>Notes</t>
  </si>
  <si>
    <t>CRIT_01_School_Risk_Prioritization_Scoring_Template</t>
  </si>
  <si>
    <t>Headers:</t>
  </si>
  <si>
    <t>C</t>
  </si>
  <si>
    <t>Hazard Type</t>
  </si>
  <si>
    <t>Score (0-3)</t>
  </si>
  <si>
    <t>Evidence/Notes</t>
  </si>
  <si>
    <t>Hazard Types (Column A):</t>
  </si>
  <si>
    <t>Flooding (river/flash/urban)</t>
  </si>
  <si>
    <t>Heavy Rainfall / Waterlogging</t>
  </si>
  <si>
    <t>Extreme Heat / Heatwaves</t>
  </si>
  <si>
    <t>Storms / High Winds</t>
  </si>
  <si>
    <t>Drought / Water Scarcity</t>
  </si>
  <si>
    <t>Landslides (if applicable)</t>
  </si>
  <si>
    <t>Earthquake (if applicable)</t>
  </si>
  <si>
    <t>Validation for Column B:</t>
  </si>
  <si>
    <r>
      <t xml:space="preserve">Data Validation → List → </t>
    </r>
    <r>
      <rPr>
        <sz val="10"/>
        <color theme="1"/>
        <rFont val="Arial Unicode MS"/>
        <family val="2"/>
      </rPr>
      <t>0,1,2,3</t>
    </r>
  </si>
  <si>
    <t>Total Hazard Score</t>
  </si>
  <si>
    <t>Hazard_Exposure_Scoring</t>
  </si>
  <si>
    <t>Infrastructure_Vulnerability</t>
  </si>
  <si>
    <t>Infrastructure Component</t>
  </si>
  <si>
    <t>Observations</t>
  </si>
  <si>
    <t>Components (Column A):</t>
  </si>
  <si>
    <t>Plinth Height / Foundation Safety</t>
  </si>
  <si>
    <t>Roof Strength / Leakage</t>
  </si>
  <si>
    <t>Wall Stability / Cracks</t>
  </si>
  <si>
    <t>Drainage System</t>
  </si>
  <si>
    <t>Ventilation / Thermal Comfort</t>
  </si>
  <si>
    <t>WASH Resilience (Toilets + Water)</t>
  </si>
  <si>
    <t>Electrical Safety</t>
  </si>
  <si>
    <t>Boundary Wall Safety</t>
  </si>
  <si>
    <t>Emergency Exit / Safe Assembly Space</t>
  </si>
  <si>
    <t>Total Infrastructure Vulnerability Score</t>
  </si>
  <si>
    <t>Social_Vulnerability</t>
  </si>
  <si>
    <t>Social Vulnerability Indicator</t>
  </si>
  <si>
    <t>Indicators:</t>
  </si>
  <si>
    <t>Poverty Level in Catchment</t>
  </si>
  <si>
    <t>Remoteness (Alternative School Distance)</t>
  </si>
  <si>
    <t>Girls’ Education Dependency</t>
  </si>
  <si>
    <t>Disability Inclusion Barriers</t>
  </si>
  <si>
    <t>History of Dropout During Shocks</t>
  </si>
  <si>
    <t>Community Coping Capacity</t>
  </si>
  <si>
    <t>Total Social Vulnerability Score</t>
  </si>
  <si>
    <t>Composite_Risk_Score</t>
  </si>
  <si>
    <t>Category</t>
  </si>
  <si>
    <t>Score</t>
  </si>
  <si>
    <t>Rows:</t>
  </si>
  <si>
    <t>Total Hazard Exposure</t>
  </si>
  <si>
    <t>Total Infrastructure Vulnerability</t>
  </si>
  <si>
    <t>Total Social Vulnerability</t>
  </si>
  <si>
    <t>Composite Risk Score</t>
  </si>
  <si>
    <t>Risk Classification</t>
  </si>
  <si>
    <t>Recommended Priority</t>
  </si>
  <si>
    <t>Formulas</t>
  </si>
  <si>
    <t>Assume totals from previous sheets:</t>
  </si>
  <si>
    <r>
      <t xml:space="preserve">In </t>
    </r>
    <r>
      <rPr>
        <b/>
        <sz val="11"/>
        <color theme="1"/>
        <rFont val="Calibri"/>
        <family val="2"/>
        <scheme val="minor"/>
      </rPr>
      <t>B2</t>
    </r>
    <r>
      <rPr>
        <sz val="11"/>
        <color theme="1"/>
        <rFont val="Calibri"/>
        <family val="2"/>
        <scheme val="minor"/>
      </rPr>
      <t>:</t>
    </r>
  </si>
  <si>
    <t>School_Priority_List</t>
  </si>
  <si>
    <t>D</t>
  </si>
  <si>
    <t>E</t>
  </si>
  <si>
    <t>F</t>
  </si>
  <si>
    <t>G</t>
  </si>
  <si>
    <t>H</t>
  </si>
  <si>
    <t>Enrolment</t>
  </si>
  <si>
    <t>Hazard Score</t>
  </si>
  <si>
    <t>Infra Score</t>
  </si>
  <si>
    <t>Social Score</t>
  </si>
  <si>
    <t>Composite Risk</t>
  </si>
  <si>
    <t>This is reviewer sheet (summary dashboard)</t>
  </si>
  <si>
    <t>Formulas Example
In row 2 (link from Composite sheet if single school).
If multiple schools, you can fill manually.</t>
  </si>
  <si>
    <t>Risk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</si>
</sst>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0"/>
      <color theme="1"/>
      <name val="Arial Unicode MS"/>
      <family val="2"/>
    </font>
    <font>
      <sz val="10"/>
      <color theme="1"/>
      <name val="Arial Unicode MS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workbookViewId="0"/>
  </sheetViews>
  <sheetFormatPr defaultRowHeight="15" x14ac:dyDescent="0.25"/>
  <cols>
    <col min="1" max="1" width="65.42578125" customWidth="1"/>
    <col min="2" max="2" width="24.28515625" customWidth="1"/>
  </cols>
  <sheetData>
    <row r="1" spans="1:2" ht="31.5" x14ac:dyDescent="0.25">
      <c r="A1" s="3" t="s">
        <v>4</v>
      </c>
    </row>
    <row r="3" spans="1:2" ht="23.25" x14ac:dyDescent="0.25">
      <c r="A3" s="4" t="s">
        <v>28</v>
      </c>
    </row>
    <row r="5" spans="1:2" ht="18" x14ac:dyDescent="0.25">
      <c r="A5" s="5" t="s">
        <v>5</v>
      </c>
    </row>
    <row r="7" spans="1:2" x14ac:dyDescent="0.25">
      <c r="A7" s="6" t="s">
        <v>6</v>
      </c>
    </row>
    <row r="9" spans="1:2" x14ac:dyDescent="0.25">
      <c r="A9" s="1" t="s">
        <v>0</v>
      </c>
      <c r="B9" s="1" t="s">
        <v>1</v>
      </c>
    </row>
    <row r="10" spans="1:2" x14ac:dyDescent="0.25">
      <c r="A10" s="2" t="s">
        <v>2</v>
      </c>
      <c r="B10" s="2" t="s">
        <v>3</v>
      </c>
    </row>
    <row r="12" spans="1:2" x14ac:dyDescent="0.25">
      <c r="A12" s="6" t="s">
        <v>7</v>
      </c>
    </row>
    <row r="13" spans="1:2" x14ac:dyDescent="0.25">
      <c r="A13" s="7"/>
    </row>
    <row r="14" spans="1:2" x14ac:dyDescent="0.25">
      <c r="A14" s="7" t="s">
        <v>8</v>
      </c>
    </row>
    <row r="15" spans="1:2" x14ac:dyDescent="0.25">
      <c r="A15" s="7" t="s">
        <v>9</v>
      </c>
    </row>
    <row r="16" spans="1:2" x14ac:dyDescent="0.25">
      <c r="A16" s="7" t="s">
        <v>10</v>
      </c>
    </row>
    <row r="17" spans="1:1" x14ac:dyDescent="0.25">
      <c r="A17" s="7" t="s">
        <v>11</v>
      </c>
    </row>
    <row r="18" spans="1:1" x14ac:dyDescent="0.25">
      <c r="A18" s="7" t="s">
        <v>12</v>
      </c>
    </row>
    <row r="19" spans="1:1" x14ac:dyDescent="0.25">
      <c r="A19" s="7" t="s">
        <v>13</v>
      </c>
    </row>
    <row r="20" spans="1:1" x14ac:dyDescent="0.25">
      <c r="A20" s="7" t="s">
        <v>14</v>
      </c>
    </row>
    <row r="21" spans="1:1" x14ac:dyDescent="0.25">
      <c r="A21" s="7" t="s">
        <v>15</v>
      </c>
    </row>
    <row r="22" spans="1:1" x14ac:dyDescent="0.25">
      <c r="A22" s="7" t="s">
        <v>16</v>
      </c>
    </row>
    <row r="23" spans="1:1" x14ac:dyDescent="0.25">
      <c r="A23" s="7" t="s">
        <v>17</v>
      </c>
    </row>
    <row r="24" spans="1:1" x14ac:dyDescent="0.25">
      <c r="A24" s="7" t="s">
        <v>18</v>
      </c>
    </row>
    <row r="25" spans="1:1" x14ac:dyDescent="0.25">
      <c r="A25" s="7" t="s">
        <v>19</v>
      </c>
    </row>
    <row r="26" spans="1:1" x14ac:dyDescent="0.25">
      <c r="A26" s="7" t="s">
        <v>20</v>
      </c>
    </row>
    <row r="27" spans="1:1" x14ac:dyDescent="0.25">
      <c r="A27" s="7" t="s">
        <v>21</v>
      </c>
    </row>
    <row r="28" spans="1:1" x14ac:dyDescent="0.25">
      <c r="A28" s="7" t="s">
        <v>22</v>
      </c>
    </row>
    <row r="29" spans="1:1" x14ac:dyDescent="0.25">
      <c r="A29" s="7" t="s">
        <v>23</v>
      </c>
    </row>
    <row r="30" spans="1:1" x14ac:dyDescent="0.25">
      <c r="A30" s="7" t="s">
        <v>24</v>
      </c>
    </row>
    <row r="31" spans="1:1" x14ac:dyDescent="0.25">
      <c r="A31" s="7" t="s">
        <v>25</v>
      </c>
    </row>
    <row r="32" spans="1:1" x14ac:dyDescent="0.25">
      <c r="A32" s="7" t="s">
        <v>26</v>
      </c>
    </row>
    <row r="33" spans="1:1" x14ac:dyDescent="0.25">
      <c r="A33" s="7" t="s">
        <v>27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5" x14ac:dyDescent="0.25"/>
  <cols>
    <col min="1" max="3" width="29.5703125" customWidth="1"/>
  </cols>
  <sheetData>
    <row r="1" spans="1:3" ht="31.5" x14ac:dyDescent="0.25">
      <c r="A1" s="3" t="s">
        <v>45</v>
      </c>
    </row>
    <row r="2" spans="1:3" x14ac:dyDescent="0.25">
      <c r="A2" s="6" t="s">
        <v>29</v>
      </c>
    </row>
    <row r="4" spans="1:3" x14ac:dyDescent="0.25">
      <c r="A4" s="1" t="s">
        <v>0</v>
      </c>
      <c r="B4" s="1" t="s">
        <v>1</v>
      </c>
      <c r="C4" s="1" t="s">
        <v>30</v>
      </c>
    </row>
    <row r="5" spans="1:3" ht="30" x14ac:dyDescent="0.25">
      <c r="A5" s="2" t="s">
        <v>31</v>
      </c>
      <c r="B5" s="2" t="s">
        <v>32</v>
      </c>
      <c r="C5" s="2" t="s">
        <v>33</v>
      </c>
    </row>
    <row r="7" spans="1:3" x14ac:dyDescent="0.25">
      <c r="A7" s="6" t="s">
        <v>34</v>
      </c>
    </row>
    <row r="9" spans="1:3" x14ac:dyDescent="0.25">
      <c r="A9" s="7" t="s">
        <v>35</v>
      </c>
    </row>
    <row r="10" spans="1:3" x14ac:dyDescent="0.25">
      <c r="A10" s="7" t="s">
        <v>36</v>
      </c>
    </row>
    <row r="11" spans="1:3" x14ac:dyDescent="0.25">
      <c r="A11" s="7" t="s">
        <v>37</v>
      </c>
    </row>
    <row r="12" spans="1:3" x14ac:dyDescent="0.25">
      <c r="A12" s="7" t="s">
        <v>38</v>
      </c>
    </row>
    <row r="13" spans="1:3" x14ac:dyDescent="0.25">
      <c r="A13" s="7" t="s">
        <v>39</v>
      </c>
    </row>
    <row r="14" spans="1:3" x14ac:dyDescent="0.25">
      <c r="A14" s="7" t="s">
        <v>40</v>
      </c>
    </row>
    <row r="15" spans="1:3" x14ac:dyDescent="0.25">
      <c r="A15" s="7" t="s">
        <v>41</v>
      </c>
    </row>
    <row r="17" spans="1:2" x14ac:dyDescent="0.25">
      <c r="A17" s="6" t="s">
        <v>42</v>
      </c>
    </row>
    <row r="18" spans="1:2" ht="15.75" x14ac:dyDescent="0.3">
      <c r="A18" t="s">
        <v>43</v>
      </c>
    </row>
    <row r="20" spans="1:2" x14ac:dyDescent="0.25">
      <c r="A20" s="6" t="s">
        <v>44</v>
      </c>
      <c r="B20">
        <f>SUM(B3:B15)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opLeftCell="A10" workbookViewId="0"/>
  </sheetViews>
  <sheetFormatPr defaultRowHeight="15" x14ac:dyDescent="0.25"/>
  <cols>
    <col min="1" max="3" width="37.28515625" customWidth="1"/>
  </cols>
  <sheetData>
    <row r="1" spans="1:3" ht="31.5" x14ac:dyDescent="0.25">
      <c r="A1" s="3" t="s">
        <v>46</v>
      </c>
    </row>
    <row r="2" spans="1:3" x14ac:dyDescent="0.25">
      <c r="A2" s="6" t="s">
        <v>29</v>
      </c>
    </row>
    <row r="4" spans="1:3" x14ac:dyDescent="0.25">
      <c r="A4" s="1" t="s">
        <v>0</v>
      </c>
      <c r="B4" s="1" t="s">
        <v>1</v>
      </c>
      <c r="C4" s="1" t="s">
        <v>30</v>
      </c>
    </row>
    <row r="5" spans="1:3" ht="60" x14ac:dyDescent="0.25">
      <c r="A5" s="2" t="s">
        <v>47</v>
      </c>
      <c r="B5" s="2" t="s">
        <v>32</v>
      </c>
      <c r="C5" s="2" t="s">
        <v>48</v>
      </c>
    </row>
    <row r="7" spans="1:3" x14ac:dyDescent="0.25">
      <c r="A7" s="6" t="s">
        <v>49</v>
      </c>
    </row>
    <row r="8" spans="1:3" x14ac:dyDescent="0.25">
      <c r="A8" s="7"/>
    </row>
    <row r="9" spans="1:3" x14ac:dyDescent="0.25">
      <c r="A9" s="7" t="s">
        <v>50</v>
      </c>
    </row>
    <row r="10" spans="1:3" x14ac:dyDescent="0.25">
      <c r="A10" s="7" t="s">
        <v>51</v>
      </c>
    </row>
    <row r="11" spans="1:3" x14ac:dyDescent="0.25">
      <c r="A11" s="7" t="s">
        <v>52</v>
      </c>
    </row>
    <row r="12" spans="1:3" x14ac:dyDescent="0.25">
      <c r="A12" s="7" t="s">
        <v>53</v>
      </c>
    </row>
    <row r="13" spans="1:3" x14ac:dyDescent="0.25">
      <c r="A13" s="7" t="s">
        <v>54</v>
      </c>
    </row>
    <row r="14" spans="1:3" x14ac:dyDescent="0.25">
      <c r="A14" s="7" t="s">
        <v>55</v>
      </c>
    </row>
    <row r="15" spans="1:3" x14ac:dyDescent="0.25">
      <c r="A15" s="7" t="s">
        <v>56</v>
      </c>
    </row>
    <row r="16" spans="1:3" x14ac:dyDescent="0.25">
      <c r="A16" s="7" t="s">
        <v>57</v>
      </c>
    </row>
    <row r="17" spans="1:2" x14ac:dyDescent="0.25">
      <c r="A17" s="7" t="s">
        <v>58</v>
      </c>
    </row>
    <row r="19" spans="1:2" x14ac:dyDescent="0.25">
      <c r="A19" s="6" t="s">
        <v>59</v>
      </c>
      <c r="B19">
        <f>SUM(B2:B17)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5" x14ac:dyDescent="0.25"/>
  <cols>
    <col min="1" max="1" width="41" customWidth="1"/>
    <col min="2" max="3" width="28.85546875" customWidth="1"/>
  </cols>
  <sheetData>
    <row r="1" spans="1:3" ht="31.5" x14ac:dyDescent="0.25">
      <c r="A1" s="3" t="s">
        <v>60</v>
      </c>
    </row>
    <row r="2" spans="1:3" x14ac:dyDescent="0.25">
      <c r="A2" s="6" t="s">
        <v>29</v>
      </c>
    </row>
    <row r="4" spans="1:3" x14ac:dyDescent="0.25">
      <c r="A4" s="1" t="s">
        <v>0</v>
      </c>
      <c r="B4" s="1" t="s">
        <v>1</v>
      </c>
      <c r="C4" s="1" t="s">
        <v>30</v>
      </c>
    </row>
    <row r="5" spans="1:3" ht="60" x14ac:dyDescent="0.25">
      <c r="A5" s="2" t="s">
        <v>61</v>
      </c>
      <c r="B5" s="2" t="s">
        <v>32</v>
      </c>
      <c r="C5" s="2" t="s">
        <v>27</v>
      </c>
    </row>
    <row r="7" spans="1:3" x14ac:dyDescent="0.25">
      <c r="A7" s="6" t="s">
        <v>62</v>
      </c>
    </row>
    <row r="8" spans="1:3" x14ac:dyDescent="0.25">
      <c r="A8" s="7"/>
    </row>
    <row r="9" spans="1:3" x14ac:dyDescent="0.25">
      <c r="A9" s="7" t="s">
        <v>63</v>
      </c>
    </row>
    <row r="10" spans="1:3" x14ac:dyDescent="0.25">
      <c r="A10" s="7" t="s">
        <v>64</v>
      </c>
    </row>
    <row r="11" spans="1:3" x14ac:dyDescent="0.25">
      <c r="A11" s="7" t="s">
        <v>65</v>
      </c>
    </row>
    <row r="12" spans="1:3" x14ac:dyDescent="0.25">
      <c r="A12" s="7" t="s">
        <v>66</v>
      </c>
    </row>
    <row r="13" spans="1:3" x14ac:dyDescent="0.25">
      <c r="A13" s="7" t="s">
        <v>67</v>
      </c>
    </row>
    <row r="14" spans="1:3" x14ac:dyDescent="0.25">
      <c r="A14" s="7" t="s">
        <v>68</v>
      </c>
    </row>
    <row r="16" spans="1:3" x14ac:dyDescent="0.25">
      <c r="A16" s="6" t="s">
        <v>69</v>
      </c>
      <c r="B16">
        <f>SUM(B2:B14)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opLeftCell="A7" workbookViewId="0">
      <selection activeCell="B17" sqref="B17"/>
    </sheetView>
  </sheetViews>
  <sheetFormatPr defaultRowHeight="15" x14ac:dyDescent="0.25"/>
  <cols>
    <col min="1" max="2" width="34.140625" customWidth="1"/>
  </cols>
  <sheetData>
    <row r="1" spans="1:2" ht="31.5" x14ac:dyDescent="0.25">
      <c r="A1" s="3" t="s">
        <v>70</v>
      </c>
    </row>
    <row r="2" spans="1:2" x14ac:dyDescent="0.25">
      <c r="A2" s="6" t="s">
        <v>29</v>
      </c>
    </row>
    <row r="4" spans="1:2" x14ac:dyDescent="0.25">
      <c r="A4" s="1" t="s">
        <v>0</v>
      </c>
      <c r="B4" s="1" t="s">
        <v>1</v>
      </c>
    </row>
    <row r="5" spans="1:2" x14ac:dyDescent="0.25">
      <c r="A5" s="2" t="s">
        <v>71</v>
      </c>
      <c r="B5" s="2" t="s">
        <v>72</v>
      </c>
    </row>
    <row r="7" spans="1:2" x14ac:dyDescent="0.25">
      <c r="A7" s="6" t="s">
        <v>73</v>
      </c>
    </row>
    <row r="8" spans="1:2" x14ac:dyDescent="0.25">
      <c r="A8" s="7"/>
    </row>
    <row r="9" spans="1:2" x14ac:dyDescent="0.25">
      <c r="A9" s="7" t="s">
        <v>74</v>
      </c>
      <c r="B9">
        <f>Hazard_Exposure_Scoring!B20</f>
        <v>0</v>
      </c>
    </row>
    <row r="10" spans="1:2" x14ac:dyDescent="0.25">
      <c r="A10" s="7" t="s">
        <v>75</v>
      </c>
      <c r="B10">
        <f>Infrastructure_Vulnerability!B19</f>
        <v>0</v>
      </c>
    </row>
    <row r="11" spans="1:2" x14ac:dyDescent="0.25">
      <c r="A11" s="7" t="s">
        <v>76</v>
      </c>
      <c r="B11">
        <f>Social_Vulnerability!B16</f>
        <v>0</v>
      </c>
    </row>
    <row r="12" spans="1:2" x14ac:dyDescent="0.25">
      <c r="A12" s="7" t="s">
        <v>77</v>
      </c>
      <c r="B12">
        <f>SUM(B9:B11)</f>
        <v>0</v>
      </c>
    </row>
    <row r="13" spans="1:2" x14ac:dyDescent="0.25">
      <c r="A13" s="7" t="s">
        <v>78</v>
      </c>
      <c r="B13" t="str">
        <f>IF(B12&lt;=10,"LOW",IF(B12&lt;=20,"MEDIUM",IF(B12&lt;=30,"HIGH","CRITICAL")))</f>
        <v>LOW</v>
      </c>
    </row>
    <row r="14" spans="1:2" x14ac:dyDescent="0.25">
      <c r="A14" s="7" t="s">
        <v>79</v>
      </c>
      <c r="B14" t="str">
        <f>IF(B13="LOW","Monitor + minor repairs",
IF(B13="MEDIUM","Planned retrofitting package",
IF(B13="HIGH","Priority retrofitting + DRR measures",
"Immediate safety intervention / relocation assessment")))</f>
        <v>Monitor + minor repairs</v>
      </c>
    </row>
    <row r="16" spans="1:2" x14ac:dyDescent="0.25">
      <c r="A16" s="6" t="s">
        <v>80</v>
      </c>
    </row>
    <row r="17" spans="1:1" x14ac:dyDescent="0.25">
      <c r="A17" t="s">
        <v>81</v>
      </c>
    </row>
    <row r="19" spans="1:1" x14ac:dyDescent="0.25">
      <c r="A19" t="s">
        <v>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selection activeCell="I6" sqref="I6"/>
    </sheetView>
  </sheetViews>
  <sheetFormatPr defaultRowHeight="15" x14ac:dyDescent="0.25"/>
  <cols>
    <col min="1" max="1" width="41.5703125" customWidth="1"/>
    <col min="2" max="7" width="13.85546875" customWidth="1"/>
    <col min="8" max="8" width="15.140625" customWidth="1"/>
    <col min="9" max="9" width="14.42578125" customWidth="1"/>
  </cols>
  <sheetData>
    <row r="1" spans="1:9" ht="15.75" x14ac:dyDescent="0.3">
      <c r="A1" s="8" t="s">
        <v>83</v>
      </c>
    </row>
    <row r="2" spans="1:9" x14ac:dyDescent="0.25">
      <c r="A2" t="s">
        <v>94</v>
      </c>
    </row>
    <row r="4" spans="1:9" x14ac:dyDescent="0.25">
      <c r="A4" s="1" t="s">
        <v>0</v>
      </c>
      <c r="B4" s="1" t="s">
        <v>1</v>
      </c>
      <c r="C4" s="1" t="s">
        <v>30</v>
      </c>
      <c r="D4" s="1" t="s">
        <v>84</v>
      </c>
      <c r="E4" s="1" t="s">
        <v>85</v>
      </c>
      <c r="F4" s="1" t="s">
        <v>86</v>
      </c>
      <c r="G4" s="1" t="s">
        <v>87</v>
      </c>
      <c r="H4" s="1" t="s">
        <v>88</v>
      </c>
    </row>
    <row r="5" spans="1:9" ht="27.75" customHeight="1" x14ac:dyDescent="0.25">
      <c r="A5" s="2" t="s">
        <v>8</v>
      </c>
      <c r="B5" s="2" t="s">
        <v>9</v>
      </c>
      <c r="C5" s="2" t="s">
        <v>11</v>
      </c>
      <c r="D5" s="2" t="s">
        <v>89</v>
      </c>
      <c r="E5" s="2" t="s">
        <v>90</v>
      </c>
      <c r="F5" s="2" t="s">
        <v>91</v>
      </c>
      <c r="G5" s="2" t="s">
        <v>92</v>
      </c>
      <c r="H5" s="2" t="s">
        <v>93</v>
      </c>
      <c r="I5" s="10" t="s">
        <v>96</v>
      </c>
    </row>
    <row r="6" spans="1:9" x14ac:dyDescent="0.25">
      <c r="I6" t="str">
        <f>IF(H6&lt;=10,"LOW",IF(H6&lt;=20,"MEDIUM",IF(H6&lt;=30,"HIGH","CRITICAL")))</f>
        <v>LOW</v>
      </c>
    </row>
    <row r="8" spans="1:9" ht="60" x14ac:dyDescent="0.25">
      <c r="A8" s="9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School_Profile</vt:lpstr>
      <vt:lpstr>Hazard_Exposure_Scoring</vt:lpstr>
      <vt:lpstr>Infrastructure_Vulnerability</vt:lpstr>
      <vt:lpstr>Social_Vulnerability</vt:lpstr>
      <vt:lpstr>Composite_Risk_Score</vt:lpstr>
      <vt:lpstr>School_Priority_List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2026-04-25T11:34:48Z</dcterms:modified>
</cp:coreProperties>
</file>