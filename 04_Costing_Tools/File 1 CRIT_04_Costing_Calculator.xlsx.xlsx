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nit_Costs" sheetId="1" r:id="rId1"/>
    <sheet name="Retrofit_Modules" sheetId="2" r:id="rId2"/>
    <sheet name="School_Cost_Summary" sheetId="3" r:id="rId3"/>
    <sheet name="Cost_Per_Child" sheetId="4" r:id="rId4"/>
    <sheet name="Retrofit_vs_Rebuil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5" l="1"/>
  <c r="B11" i="4"/>
  <c r="B9" i="4"/>
  <c r="B17" i="3"/>
  <c r="B16" i="3"/>
  <c r="B15" i="3"/>
  <c r="B14" i="3"/>
  <c r="E6" i="2"/>
</calcChain>
</file>

<file path=xl/sharedStrings.xml><?xml version="1.0" encoding="utf-8"?>
<sst xmlns="http://schemas.openxmlformats.org/spreadsheetml/2006/main" count="93" uniqueCount="76">
  <si>
    <t>Unit_Costs</t>
  </si>
  <si>
    <t>📊 04_Costing_Tools</t>
  </si>
  <si>
    <t>A</t>
  </si>
  <si>
    <t>B</t>
  </si>
  <si>
    <t>C</t>
  </si>
  <si>
    <t>Item</t>
  </si>
  <si>
    <t>Unit Cost (PKR)</t>
  </si>
  <si>
    <t>Unit</t>
  </si>
  <si>
    <t>Headers:</t>
  </si>
  <si>
    <t>Suggested items:</t>
  </si>
  <si>
    <t>Cement Bag (50kg)</t>
  </si>
  <si>
    <t>Bricks (1000)</t>
  </si>
  <si>
    <t>Sand (cft)</t>
  </si>
  <si>
    <t>Crush (cft)</t>
  </si>
  <si>
    <t>Steel (kg)</t>
  </si>
  <si>
    <t>Roofing Sheet (sq ft)</t>
  </si>
  <si>
    <t>Cool Roof Paint (liter)</t>
  </si>
  <si>
    <t>PVC Pipe (meter)</t>
  </si>
  <si>
    <t>Drainage Concrete (meter)</t>
  </si>
  <si>
    <t>Toilet Pan Set</t>
  </si>
  <si>
    <t>Handwashing Station Unit</t>
  </si>
  <si>
    <t>Water Tank (500L)</t>
  </si>
  <si>
    <t>Solar Fan Unit</t>
  </si>
  <si>
    <t>Labor Mason (per day)</t>
  </si>
  <si>
    <t>Labor Helper (per day)</t>
  </si>
  <si>
    <t>(You can update with district market rates.)</t>
  </si>
  <si>
    <t>Retrofit_Modules</t>
  </si>
  <si>
    <t>D</t>
  </si>
  <si>
    <t>E</t>
  </si>
  <si>
    <t>Module Name</t>
  </si>
  <si>
    <t>Quantity</t>
  </si>
  <si>
    <t>Unit Cost</t>
  </si>
  <si>
    <t>Total Cost</t>
  </si>
  <si>
    <t>Example Modules:</t>
  </si>
  <si>
    <t>Flood Protection Module:</t>
  </si>
  <si>
    <t>Drain channel repair</t>
  </si>
  <si>
    <t>Plinth strengthening</t>
  </si>
  <si>
    <t>Soak pit construction</t>
  </si>
  <si>
    <t>Heat Mitigation Module:</t>
  </si>
  <si>
    <t>Cool roof paint</t>
  </si>
  <si>
    <t>Ventilator installation</t>
  </si>
  <si>
    <t>Shade structure</t>
  </si>
  <si>
    <t>WASH Resilience Module:</t>
  </si>
  <si>
    <t>Raised toilets</t>
  </si>
  <si>
    <t>Handwashing stations</t>
  </si>
  <si>
    <t>Water tank</t>
  </si>
  <si>
    <t>Formula Total Cost (E2):</t>
  </si>
  <si>
    <t>School_Cost_Summary</t>
  </si>
  <si>
    <t>Cost Category</t>
  </si>
  <si>
    <t>Amount (PKR)</t>
  </si>
  <si>
    <t>Rows:</t>
  </si>
  <si>
    <t>Flood Package Total</t>
  </si>
  <si>
    <t>Heat Package Total</t>
  </si>
  <si>
    <t>WASH Package Total</t>
  </si>
  <si>
    <t>Electrical Safety Package Total</t>
  </si>
  <si>
    <t>Accessibility Package Total</t>
  </si>
  <si>
    <t>Supervision/QA (5%)</t>
  </si>
  <si>
    <t>Contingency (10%)</t>
  </si>
  <si>
    <t>Total Estimated Cost</t>
  </si>
  <si>
    <t>Subtotal (Formula for Subtotal)</t>
  </si>
  <si>
    <t>Cost_Per_Child</t>
  </si>
  <si>
    <t>Indicator</t>
  </si>
  <si>
    <t>Value</t>
  </si>
  <si>
    <t>Total Cost (PKR)</t>
  </si>
  <si>
    <t>Total Enrolment</t>
  </si>
  <si>
    <t>Cost per Child (PKR)</t>
  </si>
  <si>
    <t>Retrofit_vs_Rebuild</t>
  </si>
  <si>
    <t>Scenario</t>
  </si>
  <si>
    <t>Cost (PKR)</t>
  </si>
  <si>
    <t>Notes</t>
  </si>
  <si>
    <t>Retrofitting (CRIT recommended)</t>
  </si>
  <si>
    <t>Full Rebuild Estimate</t>
  </si>
  <si>
    <t>Annual Repairs (average)</t>
  </si>
  <si>
    <t>5-year Reactive Cost</t>
  </si>
  <si>
    <t>5-year Preventive Cost</t>
  </si>
  <si>
    <t>Savings Estimate (Formula Savings)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</si>
</sst>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/>
  </sheetViews>
  <sheetFormatPr defaultColWidth="40.28515625" defaultRowHeight="15" x14ac:dyDescent="0.25"/>
  <cols>
    <col min="2" max="3" width="21.7109375" customWidth="1"/>
  </cols>
  <sheetData>
    <row r="1" spans="1:3" ht="31.5" x14ac:dyDescent="0.25">
      <c r="A1" s="1" t="s">
        <v>1</v>
      </c>
    </row>
    <row r="2" spans="1:3" ht="18.75" x14ac:dyDescent="0.25">
      <c r="A2" s="2" t="s">
        <v>0</v>
      </c>
    </row>
    <row r="3" spans="1:3" x14ac:dyDescent="0.25">
      <c r="A3" s="5" t="s">
        <v>8</v>
      </c>
    </row>
    <row r="5" spans="1:3" x14ac:dyDescent="0.25">
      <c r="A5" s="3" t="s">
        <v>2</v>
      </c>
      <c r="B5" s="3" t="s">
        <v>3</v>
      </c>
      <c r="C5" s="3" t="s">
        <v>4</v>
      </c>
    </row>
    <row r="6" spans="1:3" ht="30" x14ac:dyDescent="0.25">
      <c r="A6" s="4" t="s">
        <v>5</v>
      </c>
      <c r="B6" s="4" t="s">
        <v>6</v>
      </c>
      <c r="C6" s="4" t="s">
        <v>7</v>
      </c>
    </row>
    <row r="8" spans="1:3" x14ac:dyDescent="0.25">
      <c r="A8" s="5" t="s">
        <v>9</v>
      </c>
    </row>
    <row r="9" spans="1:3" x14ac:dyDescent="0.25">
      <c r="A9" s="6"/>
    </row>
    <row r="10" spans="1:3" x14ac:dyDescent="0.25">
      <c r="A10" s="6" t="s">
        <v>10</v>
      </c>
    </row>
    <row r="11" spans="1:3" x14ac:dyDescent="0.25">
      <c r="A11" s="6" t="s">
        <v>11</v>
      </c>
    </row>
    <row r="12" spans="1:3" x14ac:dyDescent="0.25">
      <c r="A12" s="6" t="s">
        <v>12</v>
      </c>
    </row>
    <row r="13" spans="1:3" x14ac:dyDescent="0.25">
      <c r="A13" s="6" t="s">
        <v>13</v>
      </c>
    </row>
    <row r="14" spans="1:3" x14ac:dyDescent="0.25">
      <c r="A14" s="6" t="s">
        <v>14</v>
      </c>
    </row>
    <row r="15" spans="1:3" x14ac:dyDescent="0.25">
      <c r="A15" s="6" t="s">
        <v>15</v>
      </c>
    </row>
    <row r="16" spans="1:3" x14ac:dyDescent="0.25">
      <c r="A16" s="6" t="s">
        <v>16</v>
      </c>
    </row>
    <row r="17" spans="1:1" x14ac:dyDescent="0.25">
      <c r="A17" s="6" t="s">
        <v>17</v>
      </c>
    </row>
    <row r="18" spans="1:1" x14ac:dyDescent="0.25">
      <c r="A18" s="6" t="s">
        <v>18</v>
      </c>
    </row>
    <row r="19" spans="1:1" x14ac:dyDescent="0.25">
      <c r="A19" s="6" t="s">
        <v>19</v>
      </c>
    </row>
    <row r="20" spans="1:1" x14ac:dyDescent="0.25">
      <c r="A20" s="6" t="s">
        <v>20</v>
      </c>
    </row>
    <row r="21" spans="1:1" x14ac:dyDescent="0.25">
      <c r="A21" s="6" t="s">
        <v>21</v>
      </c>
    </row>
    <row r="22" spans="1:1" x14ac:dyDescent="0.25">
      <c r="A22" s="6" t="s">
        <v>22</v>
      </c>
    </row>
    <row r="23" spans="1:1" x14ac:dyDescent="0.25">
      <c r="A23" s="6" t="s">
        <v>23</v>
      </c>
    </row>
    <row r="24" spans="1:1" x14ac:dyDescent="0.25">
      <c r="A24" s="6" t="s">
        <v>24</v>
      </c>
    </row>
    <row r="26" spans="1:1" x14ac:dyDescent="0.25">
      <c r="A26" s="7" t="s">
        <v>25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x14ac:dyDescent="0.25"/>
  <cols>
    <col min="1" max="1" width="24.28515625" bestFit="1" customWidth="1"/>
    <col min="2" max="5" width="10.85546875" customWidth="1"/>
  </cols>
  <sheetData>
    <row r="1" spans="1:5" ht="31.5" x14ac:dyDescent="0.25">
      <c r="A1" s="1" t="s">
        <v>26</v>
      </c>
    </row>
    <row r="2" spans="1:5" x14ac:dyDescent="0.25">
      <c r="A2" s="5" t="s">
        <v>8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27</v>
      </c>
      <c r="E4" s="3" t="s">
        <v>28</v>
      </c>
    </row>
    <row r="5" spans="1:5" ht="30" x14ac:dyDescent="0.25">
      <c r="A5" s="4" t="s">
        <v>29</v>
      </c>
      <c r="B5" s="4" t="s">
        <v>5</v>
      </c>
      <c r="C5" s="4" t="s">
        <v>30</v>
      </c>
      <c r="D5" s="4" t="s">
        <v>31</v>
      </c>
      <c r="E5" s="4" t="s">
        <v>32</v>
      </c>
    </row>
    <row r="6" spans="1:5" x14ac:dyDescent="0.25">
      <c r="E6" s="8">
        <f>C6*D6</f>
        <v>0</v>
      </c>
    </row>
    <row r="7" spans="1:5" x14ac:dyDescent="0.25">
      <c r="A7" s="5" t="s">
        <v>33</v>
      </c>
    </row>
    <row r="8" spans="1:5" x14ac:dyDescent="0.25">
      <c r="A8" t="s">
        <v>34</v>
      </c>
    </row>
    <row r="9" spans="1:5" x14ac:dyDescent="0.25">
      <c r="A9" s="6"/>
    </row>
    <row r="10" spans="1:5" x14ac:dyDescent="0.25">
      <c r="A10" s="6" t="s">
        <v>35</v>
      </c>
    </row>
    <row r="11" spans="1:5" x14ac:dyDescent="0.25">
      <c r="A11" s="6" t="s">
        <v>36</v>
      </c>
    </row>
    <row r="12" spans="1:5" x14ac:dyDescent="0.25">
      <c r="A12" s="6" t="s">
        <v>37</v>
      </c>
    </row>
    <row r="14" spans="1:5" x14ac:dyDescent="0.25">
      <c r="A14" t="s">
        <v>38</v>
      </c>
    </row>
    <row r="15" spans="1:5" x14ac:dyDescent="0.25">
      <c r="A15" s="6"/>
    </row>
    <row r="16" spans="1:5" x14ac:dyDescent="0.25">
      <c r="A16" s="6" t="s">
        <v>39</v>
      </c>
    </row>
    <row r="17" spans="1:1" x14ac:dyDescent="0.25">
      <c r="A17" s="6" t="s">
        <v>40</v>
      </c>
    </row>
    <row r="18" spans="1:1" x14ac:dyDescent="0.25">
      <c r="A18" s="6" t="s">
        <v>41</v>
      </c>
    </row>
    <row r="20" spans="1:1" x14ac:dyDescent="0.25">
      <c r="A20" t="s">
        <v>42</v>
      </c>
    </row>
    <row r="21" spans="1:1" x14ac:dyDescent="0.25">
      <c r="A21" s="6"/>
    </row>
    <row r="22" spans="1:1" x14ac:dyDescent="0.25">
      <c r="A22" s="6" t="s">
        <v>43</v>
      </c>
    </row>
    <row r="23" spans="1:1" x14ac:dyDescent="0.25">
      <c r="A23" s="6" t="s">
        <v>44</v>
      </c>
    </row>
    <row r="24" spans="1:1" x14ac:dyDescent="0.25">
      <c r="A24" s="6" t="s">
        <v>45</v>
      </c>
    </row>
    <row r="26" spans="1:1" x14ac:dyDescent="0.25">
      <c r="A26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 x14ac:dyDescent="0.25"/>
  <cols>
    <col min="1" max="1" width="29.28515625" bestFit="1" customWidth="1"/>
    <col min="2" max="2" width="16.42578125" customWidth="1"/>
  </cols>
  <sheetData>
    <row r="1" spans="1:2" ht="31.5" x14ac:dyDescent="0.25">
      <c r="A1" s="1" t="s">
        <v>47</v>
      </c>
    </row>
    <row r="2" spans="1:2" x14ac:dyDescent="0.25">
      <c r="A2" s="5" t="s">
        <v>8</v>
      </c>
    </row>
    <row r="4" spans="1:2" x14ac:dyDescent="0.25">
      <c r="A4" s="3" t="s">
        <v>2</v>
      </c>
      <c r="B4" s="3" t="s">
        <v>3</v>
      </c>
    </row>
    <row r="5" spans="1:2" ht="30" x14ac:dyDescent="0.25">
      <c r="A5" s="4" t="s">
        <v>48</v>
      </c>
      <c r="B5" s="4" t="s">
        <v>49</v>
      </c>
    </row>
    <row r="7" spans="1:2" x14ac:dyDescent="0.25">
      <c r="A7" t="s">
        <v>50</v>
      </c>
    </row>
    <row r="8" spans="1:2" x14ac:dyDescent="0.25">
      <c r="A8" s="6"/>
    </row>
    <row r="9" spans="1:2" x14ac:dyDescent="0.25">
      <c r="A9" s="6" t="s">
        <v>51</v>
      </c>
    </row>
    <row r="10" spans="1:2" x14ac:dyDescent="0.25">
      <c r="A10" s="6" t="s">
        <v>52</v>
      </c>
    </row>
    <row r="11" spans="1:2" x14ac:dyDescent="0.25">
      <c r="A11" s="6" t="s">
        <v>53</v>
      </c>
    </row>
    <row r="12" spans="1:2" x14ac:dyDescent="0.25">
      <c r="A12" s="6" t="s">
        <v>54</v>
      </c>
    </row>
    <row r="13" spans="1:2" x14ac:dyDescent="0.25">
      <c r="A13" s="6" t="s">
        <v>55</v>
      </c>
    </row>
    <row r="14" spans="1:2" x14ac:dyDescent="0.25">
      <c r="A14" s="6" t="s">
        <v>59</v>
      </c>
      <c r="B14">
        <f>SUM(B9:B13)</f>
        <v>0</v>
      </c>
    </row>
    <row r="15" spans="1:2" x14ac:dyDescent="0.25">
      <c r="A15" s="6" t="s">
        <v>56</v>
      </c>
      <c r="B15">
        <f>B14*0.05</f>
        <v>0</v>
      </c>
    </row>
    <row r="16" spans="1:2" x14ac:dyDescent="0.25">
      <c r="A16" s="6" t="s">
        <v>57</v>
      </c>
      <c r="B16">
        <f>B14*0.1</f>
        <v>0</v>
      </c>
    </row>
    <row r="17" spans="1:2" x14ac:dyDescent="0.25">
      <c r="A17" s="6" t="s">
        <v>58</v>
      </c>
      <c r="B17">
        <f>SUM(B14:B16)</f>
        <v>0</v>
      </c>
    </row>
    <row r="19" spans="1:2" x14ac:dyDescent="0.25">
      <c r="A1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2" width="25.140625" customWidth="1"/>
  </cols>
  <sheetData>
    <row r="1" spans="1:2" ht="31.5" x14ac:dyDescent="0.25">
      <c r="A1" s="1" t="s">
        <v>60</v>
      </c>
    </row>
    <row r="2" spans="1:2" x14ac:dyDescent="0.25">
      <c r="A2" s="5" t="s">
        <v>8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61</v>
      </c>
      <c r="B5" s="4" t="s">
        <v>62</v>
      </c>
    </row>
    <row r="7" spans="1:2" x14ac:dyDescent="0.25">
      <c r="A7" t="s">
        <v>50</v>
      </c>
    </row>
    <row r="8" spans="1:2" x14ac:dyDescent="0.25">
      <c r="A8" s="6"/>
    </row>
    <row r="9" spans="1:2" x14ac:dyDescent="0.25">
      <c r="A9" s="6" t="s">
        <v>63</v>
      </c>
      <c r="B9">
        <f>School_Cost_Summary!B17</f>
        <v>0</v>
      </c>
    </row>
    <row r="10" spans="1:2" x14ac:dyDescent="0.25">
      <c r="A10" s="6" t="s">
        <v>64</v>
      </c>
    </row>
    <row r="11" spans="1:2" x14ac:dyDescent="0.25">
      <c r="A11" s="6" t="s">
        <v>65</v>
      </c>
      <c r="B11" t="e">
        <f>B9/B10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D8" sqref="D8"/>
    </sheetView>
  </sheetViews>
  <sheetFormatPr defaultRowHeight="15" x14ac:dyDescent="0.25"/>
  <cols>
    <col min="1" max="1" width="34" bestFit="1" customWidth="1"/>
    <col min="2" max="3" width="12.85546875" customWidth="1"/>
  </cols>
  <sheetData>
    <row r="1" spans="1:3" ht="31.5" x14ac:dyDescent="0.25">
      <c r="A1" s="1" t="s">
        <v>66</v>
      </c>
    </row>
    <row r="2" spans="1:3" x14ac:dyDescent="0.25">
      <c r="A2" s="5" t="s">
        <v>8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ht="30" x14ac:dyDescent="0.25">
      <c r="A5" s="4" t="s">
        <v>67</v>
      </c>
      <c r="B5" s="4" t="s">
        <v>68</v>
      </c>
      <c r="C5" s="4" t="s">
        <v>69</v>
      </c>
    </row>
    <row r="7" spans="1:3" x14ac:dyDescent="0.25">
      <c r="A7" t="s">
        <v>50</v>
      </c>
    </row>
    <row r="8" spans="1:3" x14ac:dyDescent="0.25">
      <c r="A8" s="6"/>
    </row>
    <row r="9" spans="1:3" x14ac:dyDescent="0.25">
      <c r="A9" s="6" t="s">
        <v>70</v>
      </c>
    </row>
    <row r="10" spans="1:3" x14ac:dyDescent="0.25">
      <c r="A10" s="6" t="s">
        <v>71</v>
      </c>
    </row>
    <row r="11" spans="1:3" x14ac:dyDescent="0.25">
      <c r="A11" s="6" t="s">
        <v>72</v>
      </c>
    </row>
    <row r="12" spans="1:3" x14ac:dyDescent="0.25">
      <c r="A12" s="6" t="s">
        <v>73</v>
      </c>
    </row>
    <row r="13" spans="1:3" x14ac:dyDescent="0.25">
      <c r="A13" s="6" t="s">
        <v>74</v>
      </c>
    </row>
    <row r="14" spans="1:3" x14ac:dyDescent="0.25">
      <c r="A14" s="6" t="s">
        <v>75</v>
      </c>
      <c r="B14">
        <f>B12-B13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Unit_Costs</vt:lpstr>
      <vt:lpstr>Retrofit_Modules</vt:lpstr>
      <vt:lpstr>School_Cost_Summary</vt:lpstr>
      <vt:lpstr>Cost_Per_Child</vt:lpstr>
      <vt:lpstr>Retrofit_vs_Rebuild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2026-04-21T05:17:01Z</dcterms:modified>
</cp:coreProperties>
</file>